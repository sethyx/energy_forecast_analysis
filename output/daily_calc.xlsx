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thyx/Code/szakdog/"/>
    </mc:Choice>
  </mc:AlternateContent>
  <xr:revisionPtr revIDLastSave="0" documentId="8_{1D1FBC84-4F71-714F-A007-F90C2EA6AC72}" xr6:coauthVersionLast="47" xr6:coauthVersionMax="47" xr10:uidLastSave="{00000000-0000-0000-0000-000000000000}"/>
  <bookViews>
    <workbookView xWindow="0" yWindow="800" windowWidth="36000" windowHeight="22580" xr2:uid="{D20BE322-2470-5C40-8E71-410C12FC21E3}"/>
  </bookViews>
  <sheets>
    <sheet name="HA graph" sheetId="1" r:id="rId1"/>
    <sheet name="Public graph" sheetId="6" r:id="rId2"/>
    <sheet name="Sheet4" sheetId="4" r:id="rId3"/>
    <sheet name="Sheet2" sheetId="2" r:id="rId4"/>
  </sheets>
  <definedNames>
    <definedName name="_xlnm._FilterDatabase" localSheetId="3" hidden="1">Sheet2!$A$1:$G$13</definedName>
  </definedNames>
  <calcPr calcId="191029"/>
  <pivotCaches>
    <pivotCache cacheId="3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" l="1" a="1"/>
  <c r="A26" i="1" s="1"/>
  <c r="C21" i="1"/>
  <c r="D21" i="1"/>
  <c r="E21" i="1"/>
  <c r="F21" i="1"/>
  <c r="G21" i="1"/>
  <c r="B21" i="1"/>
  <c r="B19" i="1"/>
  <c r="C19" i="1"/>
  <c r="D19" i="1"/>
  <c r="E19" i="1"/>
  <c r="F19" i="1"/>
  <c r="G19" i="1"/>
  <c r="B20" i="1"/>
  <c r="C20" i="1"/>
  <c r="D20" i="1"/>
  <c r="E20" i="1"/>
  <c r="F20" i="1"/>
  <c r="G20" i="1"/>
  <c r="C18" i="1"/>
  <c r="D18" i="1"/>
  <c r="E18" i="1"/>
  <c r="F18" i="1"/>
  <c r="G18" i="1"/>
  <c r="B18" i="1"/>
  <c r="B13" i="1"/>
  <c r="C13" i="1"/>
  <c r="D13" i="1"/>
  <c r="E13" i="1"/>
  <c r="F13" i="1"/>
  <c r="G13" i="1"/>
  <c r="B14" i="1"/>
  <c r="C14" i="1"/>
  <c r="D14" i="1"/>
  <c r="E14" i="1"/>
  <c r="F14" i="1"/>
  <c r="G14" i="1"/>
  <c r="C12" i="1"/>
  <c r="D12" i="1"/>
  <c r="E12" i="1"/>
  <c r="F12" i="1"/>
  <c r="G12" i="1"/>
  <c r="B12" i="1"/>
  <c r="A28" i="6" a="1"/>
  <c r="A28" i="6" s="1"/>
  <c r="E11" i="6"/>
  <c r="D22" i="6"/>
  <c r="F22" i="6"/>
  <c r="G22" i="6"/>
  <c r="H22" i="6"/>
  <c r="C22" i="6"/>
  <c r="C20" i="6"/>
  <c r="D20" i="6"/>
  <c r="E20" i="6"/>
  <c r="F20" i="6"/>
  <c r="G20" i="6"/>
  <c r="H20" i="6"/>
  <c r="C21" i="6"/>
  <c r="D21" i="6"/>
  <c r="E21" i="6"/>
  <c r="F21" i="6"/>
  <c r="G21" i="6"/>
  <c r="H21" i="6"/>
  <c r="D19" i="6"/>
  <c r="F19" i="6"/>
  <c r="G19" i="6"/>
  <c r="H19" i="6"/>
  <c r="C19" i="6"/>
  <c r="C11" i="6"/>
  <c r="D11" i="6"/>
  <c r="F11" i="6"/>
  <c r="G11" i="6"/>
  <c r="H11" i="6"/>
  <c r="C12" i="6"/>
  <c r="D12" i="6"/>
  <c r="E12" i="6"/>
  <c r="F12" i="6"/>
  <c r="G12" i="6"/>
  <c r="H12" i="6"/>
  <c r="D10" i="6"/>
  <c r="E10" i="6"/>
  <c r="E19" i="6" s="1"/>
  <c r="F10" i="6"/>
  <c r="G10" i="6"/>
  <c r="H10" i="6"/>
  <c r="C10" i="6"/>
  <c r="E22" i="6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<sst xmlns="http://schemas.openxmlformats.org/spreadsheetml/2006/main" count="90" uniqueCount="27">
  <si>
    <t>Nap</t>
  </si>
  <si>
    <t>Napi valós fogyasztás</t>
  </si>
  <si>
    <t>AutoETS</t>
  </si>
  <si>
    <t>AutoARIMA</t>
  </si>
  <si>
    <t>ChronosZeroShot</t>
  </si>
  <si>
    <t>ChronosFineTuned</t>
  </si>
  <si>
    <t>DeepAR</t>
  </si>
  <si>
    <t>WaveNet</t>
  </si>
  <si>
    <t>Modell</t>
  </si>
  <si>
    <t>Adathalmaz</t>
  </si>
  <si>
    <t>WQL</t>
  </si>
  <si>
    <t>MAE</t>
  </si>
  <si>
    <t>WAPE</t>
  </si>
  <si>
    <t>fit_time (s)</t>
  </si>
  <si>
    <t>pred_time (s)</t>
  </si>
  <si>
    <t>Publikus</t>
  </si>
  <si>
    <t>Home Assistant</t>
  </si>
  <si>
    <t>Row Labels</t>
  </si>
  <si>
    <t>Grand Total</t>
  </si>
  <si>
    <t>Average of WQL</t>
  </si>
  <si>
    <t>Average of MAE</t>
  </si>
  <si>
    <t>Average of WAPE</t>
  </si>
  <si>
    <t>Average of fit_time (s)</t>
  </si>
  <si>
    <t>Average of pred_time (s)</t>
  </si>
  <si>
    <t>date</t>
  </si>
  <si>
    <t>daily_real_consumption</t>
  </si>
  <si>
    <t>Dátum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</si>
</sst>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71" formatCode="yyyy\-mm\-dd;@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17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  <color rgb="FF00FA00"/>
      <color rgb="FF73FB79"/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3"/>
          <c:order val="0"/>
          <c:tx>
            <c:strRef>
              <c:f>'HA graph'!$B$11</c:f>
              <c:strCache>
                <c:ptCount val="1"/>
                <c:pt idx="0">
                  <c:v>AutoETS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'HA graph'!$A$12:$A$14</c:f>
              <c:numCache>
                <c:formatCode>yyyy/mm/dd;@</c:formatCode>
                <c:ptCount val="3"/>
                <c:pt idx="0">
                  <c:v>45830</c:v>
                </c:pt>
                <c:pt idx="1">
                  <c:v>45831</c:v>
                </c:pt>
                <c:pt idx="2">
                  <c:v>45832</c:v>
                </c:pt>
              </c:numCache>
            </c:numRef>
          </c:cat>
          <c:val>
            <c:numRef>
              <c:f>'HA graph'!$B$12:$B$14</c:f>
              <c:numCache>
                <c:formatCode>General</c:formatCode>
                <c:ptCount val="3"/>
                <c:pt idx="0">
                  <c:v>1.9800000000000004</c:v>
                </c:pt>
                <c:pt idx="1">
                  <c:v>-2.76</c:v>
                </c:pt>
                <c:pt idx="2">
                  <c:v>-2.2999999999999998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866-364A-81E1-94F0DF85C600}"/>
            </c:ext>
          </c:extLst>
        </c:ser>
        <c:ser>
          <c:idx val="0"/>
          <c:order val="1"/>
          <c:tx>
            <c:strRef>
              <c:f>'HA graph'!$C$11</c:f>
              <c:strCache>
                <c:ptCount val="1"/>
                <c:pt idx="0">
                  <c:v>AutoARIMA</c:v>
                </c:pt>
              </c:strCache>
            </c:strRef>
          </c:tx>
          <c:spPr>
            <a:solidFill>
              <a:srgbClr val="FF7E79"/>
            </a:solidFill>
            <a:ln>
              <a:noFill/>
            </a:ln>
            <a:effectLst/>
          </c:spPr>
          <c:invertIfNegative val="0"/>
          <c:cat>
            <c:numRef>
              <c:f>'HA graph'!$A$12:$A$14</c:f>
              <c:numCache>
                <c:formatCode>yyyy/mm/dd;@</c:formatCode>
                <c:ptCount val="3"/>
                <c:pt idx="0">
                  <c:v>45830</c:v>
                </c:pt>
                <c:pt idx="1">
                  <c:v>45831</c:v>
                </c:pt>
                <c:pt idx="2">
                  <c:v>45832</c:v>
                </c:pt>
              </c:numCache>
            </c:numRef>
          </c:cat>
          <c:val>
            <c:numRef>
              <c:f>'HA graph'!$C$12:$C$14</c:f>
              <c:numCache>
                <c:formatCode>General</c:formatCode>
                <c:ptCount val="3"/>
                <c:pt idx="0">
                  <c:v>0.48000000000000043</c:v>
                </c:pt>
                <c:pt idx="1">
                  <c:v>-7.0700000000000021</c:v>
                </c:pt>
                <c:pt idx="2">
                  <c:v>-6.62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6-364A-81E1-94F0DF85C600}"/>
            </c:ext>
          </c:extLst>
        </c:ser>
        <c:ser>
          <c:idx val="14"/>
          <c:order val="2"/>
          <c:tx>
            <c:strRef>
              <c:f>'HA graph'!$D$11</c:f>
              <c:strCache>
                <c:ptCount val="1"/>
                <c:pt idx="0">
                  <c:v>DeepAR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'HA graph'!$A$12:$A$14</c:f>
              <c:numCache>
                <c:formatCode>yyyy/mm/dd;@</c:formatCode>
                <c:ptCount val="3"/>
                <c:pt idx="0">
                  <c:v>45830</c:v>
                </c:pt>
                <c:pt idx="1">
                  <c:v>45831</c:v>
                </c:pt>
                <c:pt idx="2">
                  <c:v>45832</c:v>
                </c:pt>
              </c:numCache>
            </c:numRef>
          </c:cat>
          <c:val>
            <c:numRef>
              <c:f>'HA graph'!$D$12:$D$14</c:f>
              <c:numCache>
                <c:formatCode>General</c:formatCode>
                <c:ptCount val="3"/>
                <c:pt idx="0">
                  <c:v>2.5600000000000005</c:v>
                </c:pt>
                <c:pt idx="1">
                  <c:v>2.4299999999999997</c:v>
                </c:pt>
                <c:pt idx="2">
                  <c:v>0.66000000000000014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866-364A-81E1-94F0DF85C600}"/>
            </c:ext>
          </c:extLst>
        </c:ser>
        <c:ser>
          <c:idx val="16"/>
          <c:order val="3"/>
          <c:tx>
            <c:strRef>
              <c:f>'HA graph'!$E$11</c:f>
              <c:strCache>
                <c:ptCount val="1"/>
                <c:pt idx="0">
                  <c:v>WaveNet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'HA graph'!$A$12:$A$14</c:f>
              <c:numCache>
                <c:formatCode>yyyy/mm/dd;@</c:formatCode>
                <c:ptCount val="3"/>
                <c:pt idx="0">
                  <c:v>45830</c:v>
                </c:pt>
                <c:pt idx="1">
                  <c:v>45831</c:v>
                </c:pt>
                <c:pt idx="2">
                  <c:v>45832</c:v>
                </c:pt>
              </c:numCache>
            </c:numRef>
          </c:cat>
          <c:val>
            <c:numRef>
              <c:f>'HA graph'!$E$12:$E$14</c:f>
              <c:numCache>
                <c:formatCode>General</c:formatCode>
                <c:ptCount val="3"/>
                <c:pt idx="0">
                  <c:v>3.01</c:v>
                </c:pt>
                <c:pt idx="1">
                  <c:v>2.9999999999999361E-2</c:v>
                </c:pt>
                <c:pt idx="2">
                  <c:v>-1.1000000000000005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866-364A-81E1-94F0DF85C600}"/>
            </c:ext>
          </c:extLst>
        </c:ser>
        <c:ser>
          <c:idx val="1"/>
          <c:order val="4"/>
          <c:tx>
            <c:strRef>
              <c:f>'HA graph'!$F$11</c:f>
              <c:strCache>
                <c:ptCount val="1"/>
                <c:pt idx="0">
                  <c:v>ChronosZeroShot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'HA graph'!$A$12:$A$14</c:f>
              <c:numCache>
                <c:formatCode>yyyy/mm/dd;@</c:formatCode>
                <c:ptCount val="3"/>
                <c:pt idx="0">
                  <c:v>45830</c:v>
                </c:pt>
                <c:pt idx="1">
                  <c:v>45831</c:v>
                </c:pt>
                <c:pt idx="2">
                  <c:v>45832</c:v>
                </c:pt>
              </c:numCache>
            </c:numRef>
          </c:cat>
          <c:val>
            <c:numRef>
              <c:f>'HA graph'!$F$12:$F$14</c:f>
              <c:numCache>
                <c:formatCode>General</c:formatCode>
                <c:ptCount val="3"/>
                <c:pt idx="0">
                  <c:v>2.3500000000000005</c:v>
                </c:pt>
                <c:pt idx="1">
                  <c:v>1.0600000000000005</c:v>
                </c:pt>
                <c:pt idx="2">
                  <c:v>0.16000000000000014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66-364A-81E1-94F0DF85C600}"/>
            </c:ext>
          </c:extLst>
        </c:ser>
        <c:ser>
          <c:idx val="15"/>
          <c:order val="5"/>
          <c:tx>
            <c:strRef>
              <c:f>'HA graph'!$G$11</c:f>
              <c:strCache>
                <c:ptCount val="1"/>
                <c:pt idx="0">
                  <c:v>ChronosFineTuned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'HA graph'!$A$12:$A$14</c:f>
              <c:numCache>
                <c:formatCode>yyyy/mm/dd;@</c:formatCode>
                <c:ptCount val="3"/>
                <c:pt idx="0">
                  <c:v>45830</c:v>
                </c:pt>
                <c:pt idx="1">
                  <c:v>45831</c:v>
                </c:pt>
                <c:pt idx="2">
                  <c:v>45832</c:v>
                </c:pt>
              </c:numCache>
            </c:numRef>
          </c:cat>
          <c:val>
            <c:numRef>
              <c:f>'HA graph'!$G$12:$G$14</c:f>
              <c:numCache>
                <c:formatCode>General</c:formatCode>
                <c:ptCount val="3"/>
                <c:pt idx="0">
                  <c:v>2.4700000000000006</c:v>
                </c:pt>
                <c:pt idx="1">
                  <c:v>1.4100000000000001</c:v>
                </c:pt>
                <c:pt idx="2">
                  <c:v>0.12999999999999989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866-364A-81E1-94F0DF85C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48130560"/>
        <c:axId val="1166929280"/>
      </c:barChart>
      <c:dateAx>
        <c:axId val="1148130560"/>
        <c:scaling>
          <c:orientation val="minMax"/>
        </c:scaling>
        <c:delete val="0"/>
        <c:axPos val="b"/>
        <c:numFmt formatCode="yyyy/mm/dd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929280"/>
        <c:crosses val="autoZero"/>
        <c:auto val="1"/>
        <c:lblOffset val="100"/>
        <c:baseTimeUnit val="days"/>
      </c:dateAx>
      <c:valAx>
        <c:axId val="116692928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13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'Public graph'!$C$9</c:f>
              <c:strCache>
                <c:ptCount val="1"/>
                <c:pt idx="0">
                  <c:v>AutoETS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'Public graph'!$B$10:$B$12</c:f>
              <c:numCache>
                <c:formatCode>yyyy\-mm\-dd;@</c:formatCode>
                <c:ptCount val="3"/>
                <c:pt idx="0">
                  <c:v>40506</c:v>
                </c:pt>
                <c:pt idx="1">
                  <c:v>40507</c:v>
                </c:pt>
                <c:pt idx="2">
                  <c:v>40508</c:v>
                </c:pt>
              </c:numCache>
            </c:numRef>
          </c:cat>
          <c:val>
            <c:numRef>
              <c:f>'Public graph'!$C$10:$C$12</c:f>
              <c:numCache>
                <c:formatCode>0.00</c:formatCode>
                <c:ptCount val="3"/>
                <c:pt idx="0">
                  <c:v>-1.3699999999999999</c:v>
                </c:pt>
                <c:pt idx="1">
                  <c:v>-3.1999999999999993</c:v>
                </c:pt>
                <c:pt idx="2">
                  <c:v>0.7900000000000027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9-9C45-8B20-A337D14898AE}"/>
            </c:ext>
          </c:extLst>
        </c:ser>
        <c:ser>
          <c:idx val="1"/>
          <c:order val="1"/>
          <c:tx>
            <c:strRef>
              <c:f>'Public graph'!$D$9</c:f>
              <c:strCache>
                <c:ptCount val="1"/>
                <c:pt idx="0">
                  <c:v>AutoARIMA</c:v>
                </c:pt>
              </c:strCache>
            </c:strRef>
          </c:tx>
          <c:spPr>
            <a:solidFill>
              <a:srgbClr val="FF7E79"/>
            </a:solidFill>
            <a:ln>
              <a:noFill/>
            </a:ln>
            <a:effectLst/>
          </c:spPr>
          <c:invertIfNegative val="0"/>
          <c:cat>
            <c:numRef>
              <c:f>'Public graph'!$B$10:$B$12</c:f>
              <c:numCache>
                <c:formatCode>yyyy\-mm\-dd;@</c:formatCode>
                <c:ptCount val="3"/>
                <c:pt idx="0">
                  <c:v>40506</c:v>
                </c:pt>
                <c:pt idx="1">
                  <c:v>40507</c:v>
                </c:pt>
                <c:pt idx="2">
                  <c:v>40508</c:v>
                </c:pt>
              </c:numCache>
            </c:numRef>
          </c:cat>
          <c:val>
            <c:numRef>
              <c:f>'Public graph'!$D$10:$D$12</c:f>
              <c:numCache>
                <c:formatCode>0.00</c:formatCode>
                <c:ptCount val="3"/>
                <c:pt idx="0">
                  <c:v>-1.28</c:v>
                </c:pt>
                <c:pt idx="1">
                  <c:v>-5.2999999999999972</c:v>
                </c:pt>
                <c:pt idx="2">
                  <c:v>-1.5700000000000003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C9-9C45-8B20-A337D14898AE}"/>
            </c:ext>
          </c:extLst>
        </c:ser>
        <c:ser>
          <c:idx val="2"/>
          <c:order val="2"/>
          <c:tx>
            <c:strRef>
              <c:f>'Public graph'!$E$9</c:f>
              <c:strCache>
                <c:ptCount val="1"/>
                <c:pt idx="0">
                  <c:v>DeepAR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'Public graph'!$B$10:$B$12</c:f>
              <c:numCache>
                <c:formatCode>yyyy\-mm\-dd;@</c:formatCode>
                <c:ptCount val="3"/>
                <c:pt idx="0">
                  <c:v>40506</c:v>
                </c:pt>
                <c:pt idx="1">
                  <c:v>40507</c:v>
                </c:pt>
                <c:pt idx="2">
                  <c:v>40508</c:v>
                </c:pt>
              </c:numCache>
            </c:numRef>
          </c:cat>
          <c:val>
            <c:numRef>
              <c:f>'Public graph'!$E$10:$E$12</c:f>
              <c:numCache>
                <c:formatCode>0.00</c:formatCode>
                <c:ptCount val="3"/>
                <c:pt idx="0">
                  <c:v>-1.2899999999999998</c:v>
                </c:pt>
                <c:pt idx="1">
                  <c:v>1.1000000000000014</c:v>
                </c:pt>
                <c:pt idx="2">
                  <c:v>2.4299999999999997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C9-9C45-8B20-A337D14898AE}"/>
            </c:ext>
          </c:extLst>
        </c:ser>
        <c:ser>
          <c:idx val="3"/>
          <c:order val="3"/>
          <c:tx>
            <c:strRef>
              <c:f>'Public graph'!$F$9</c:f>
              <c:strCache>
                <c:ptCount val="1"/>
                <c:pt idx="0">
                  <c:v>WaveNet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'Public graph'!$B$10:$B$12</c:f>
              <c:numCache>
                <c:formatCode>yyyy\-mm\-dd;@</c:formatCode>
                <c:ptCount val="3"/>
                <c:pt idx="0">
                  <c:v>40506</c:v>
                </c:pt>
                <c:pt idx="1">
                  <c:v>40507</c:v>
                </c:pt>
                <c:pt idx="2">
                  <c:v>40508</c:v>
                </c:pt>
              </c:numCache>
            </c:numRef>
          </c:cat>
          <c:val>
            <c:numRef>
              <c:f>'Public graph'!$F$10:$F$12</c:f>
              <c:numCache>
                <c:formatCode>0.00</c:formatCode>
                <c:ptCount val="3"/>
                <c:pt idx="0">
                  <c:v>-1.74</c:v>
                </c:pt>
                <c:pt idx="1">
                  <c:v>-2.59</c:v>
                </c:pt>
                <c:pt idx="2">
                  <c:v>-1.3299999999999983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C9-9C45-8B20-A337D14898AE}"/>
            </c:ext>
          </c:extLst>
        </c:ser>
        <c:ser>
          <c:idx val="4"/>
          <c:order val="4"/>
          <c:tx>
            <c:strRef>
              <c:f>'Public graph'!$G$9</c:f>
              <c:strCache>
                <c:ptCount val="1"/>
                <c:pt idx="0">
                  <c:v>ChronosZeroShot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'Public graph'!$B$10:$B$12</c:f>
              <c:numCache>
                <c:formatCode>yyyy\-mm\-dd;@</c:formatCode>
                <c:ptCount val="3"/>
                <c:pt idx="0">
                  <c:v>40506</c:v>
                </c:pt>
                <c:pt idx="1">
                  <c:v>40507</c:v>
                </c:pt>
                <c:pt idx="2">
                  <c:v>40508</c:v>
                </c:pt>
              </c:numCache>
            </c:numRef>
          </c:cat>
          <c:val>
            <c:numRef>
              <c:f>'Public graph'!$G$10:$G$12</c:f>
              <c:numCache>
                <c:formatCode>0.00</c:formatCode>
                <c:ptCount val="3"/>
                <c:pt idx="0">
                  <c:v>-0.72</c:v>
                </c:pt>
                <c:pt idx="1">
                  <c:v>-3.760000999999999</c:v>
                </c:pt>
                <c:pt idx="2">
                  <c:v>-1.129999999999999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C9-9C45-8B20-A337D14898AE}"/>
            </c:ext>
          </c:extLst>
        </c:ser>
        <c:ser>
          <c:idx val="5"/>
          <c:order val="5"/>
          <c:tx>
            <c:strRef>
              <c:f>'Public graph'!$H$9</c:f>
              <c:strCache>
                <c:ptCount val="1"/>
                <c:pt idx="0">
                  <c:v>ChronosFineTuned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'Public graph'!$B$10:$B$12</c:f>
              <c:numCache>
                <c:formatCode>yyyy\-mm\-dd;@</c:formatCode>
                <c:ptCount val="3"/>
                <c:pt idx="0">
                  <c:v>40506</c:v>
                </c:pt>
                <c:pt idx="1">
                  <c:v>40507</c:v>
                </c:pt>
                <c:pt idx="2">
                  <c:v>40508</c:v>
                </c:pt>
              </c:numCache>
            </c:numRef>
          </c:cat>
          <c:val>
            <c:numRef>
              <c:f>'Public graph'!$H$10:$H$12</c:f>
              <c:numCache>
                <c:formatCode>0.00</c:formatCode>
                <c:ptCount val="3"/>
                <c:pt idx="0">
                  <c:v>-0.8</c:v>
                </c:pt>
                <c:pt idx="1">
                  <c:v>-3.4199999999999982</c:v>
                </c:pt>
                <c:pt idx="2">
                  <c:v>-0.18999900000000025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C9-9C45-8B20-A337D1489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5919423"/>
        <c:axId val="1655702399"/>
      </c:barChart>
      <c:dateAx>
        <c:axId val="1655919423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702399"/>
        <c:crosses val="autoZero"/>
        <c:auto val="1"/>
        <c:lblOffset val="100"/>
        <c:baseTimeUnit val="days"/>
      </c:dateAx>
      <c:valAx>
        <c:axId val="1655702399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kWh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91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503296</xdr:colOff>
      <xdr:row>26</xdr:row>
      <xdr:rowOff>1880</xdr:rowOff>
    </xdr:from>
    <xdr:to>
      <xdr:col>12</xdr:col>
      <xdr:colOff>169332</xdr:colOff>
      <xdr:row>48</xdr:row>
      <xdr:rowOff>103480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91D90F-0299-8FD6-420B-49FEB8423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520699</xdr:colOff>
      <xdr:row>24</xdr:row>
      <xdr:rowOff>71964</xdr:rowOff>
    </xdr:from>
    <xdr:to>
      <xdr:col>12</xdr:col>
      <xdr:colOff>491066</xdr:colOff>
      <xdr:row>46</xdr:row>
      <xdr:rowOff>42331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AA4A34-45C5-D8BB-F766-642870AE8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gely Széll" refreshedDate="45926.339243287039" createdVersion="8" refreshedVersion="8" minRefreshableVersion="3" recordCount="12" xr:uid="{09470E35-0EC9-4447-AB53-EDCC90B70222}">
  <cacheSource type="worksheet">
    <worksheetSource ref="A1:G13" sheet="Sheet2"/>
  </cacheSource>
  <cacheFields count="7">
    <cacheField name="Modell" numFmtId="0">
      <sharedItems count="6">
        <s v="ChronosFineTuned"/>
        <s v="ChronosZeroShot"/>
        <s v="DeepAR"/>
        <s v="WaveNet"/>
        <s v="AutoETS"/>
        <s v="AutoARIMA"/>
      </sharedItems>
    </cacheField>
    <cacheField name="Adathalmaz" numFmtId="0">
      <sharedItems/>
    </cacheField>
    <cacheField name="WQL" numFmtId="0">
      <sharedItems containsSemiMixedTypes="0" containsString="0" containsNumber="1" minValue="-0.4506" maxValue="-0.1986"/>
    </cacheField>
    <cacheField name="MAE" numFmtId="0">
      <sharedItems containsSemiMixedTypes="0" containsString="0" containsNumber="1" minValue="-0.44829999999999998" maxValue="-0.1394"/>
    </cacheField>
    <cacheField name="WAPE" numFmtId="0">
      <sharedItems containsSemiMixedTypes="0" containsString="0" containsNumber="1" minValue="-0.63990000000000002" maxValue="-0.25119999999999998"/>
    </cacheField>
    <cacheField name="fit_time (s)" numFmtId="0">
      <sharedItems containsSemiMixedTypes="0" containsString="0" containsNumber="1" minValue="0.01" maxValue="1008.41"/>
    </cacheField>
    <cacheField name="pred_time (s)" numFmtId="0">
      <sharedItems containsSemiMixedTypes="0" containsString="0" containsNumber="1" minValue="7.0000000000000007E-2" maxValue="3.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Publikus"/>
    <n v="-0.22650000000000001"/>
    <n v="-0.3014"/>
    <n v="-0.28749999999999998"/>
    <n v="1008.41"/>
    <n v="0.37"/>
  </r>
  <r>
    <x v="0"/>
    <s v="Home Assistant"/>
    <n v="-0.1986"/>
    <n v="-0.1394"/>
    <n v="-0.25119999999999998"/>
    <n v="977.77"/>
    <n v="0.36"/>
  </r>
  <r>
    <x v="1"/>
    <s v="Publikus"/>
    <n v="-0.22850000000000001"/>
    <n v="-0.29899999999999999"/>
    <n v="-0.28520000000000001"/>
    <n v="1.43"/>
    <n v="0.93"/>
  </r>
  <r>
    <x v="1"/>
    <s v="Home Assistant"/>
    <n v="-0.20660000000000001"/>
    <n v="-0.14050000000000001"/>
    <n v="-0.25319999999999998"/>
    <n v="1.29"/>
    <n v="0.8"/>
  </r>
  <r>
    <x v="2"/>
    <s v="Publikus"/>
    <n v="-0.2364"/>
    <n v="-0.31"/>
    <n v="-0.29570000000000002"/>
    <n v="180.53"/>
    <n v="7.0000000000000007E-2"/>
  </r>
  <r>
    <x v="2"/>
    <s v="Home Assistant"/>
    <n v="-0.2404"/>
    <n v="-0.16039999999999999"/>
    <n v="-0.28899999999999998"/>
    <n v="76.39"/>
    <n v="0.12"/>
  </r>
  <r>
    <x v="3"/>
    <s v="Publikus"/>
    <n v="-0.23930000000000001"/>
    <n v="-0.34350000000000003"/>
    <n v="-0.32769999999999999"/>
    <n v="553.41"/>
    <n v="1.56"/>
  </r>
  <r>
    <x v="3"/>
    <s v="Home Assistant"/>
    <n v="-0.2445"/>
    <n v="-0.16689999999999999"/>
    <n v="-0.30070000000000002"/>
    <n v="262.83999999999997"/>
    <n v="1.61"/>
  </r>
  <r>
    <x v="4"/>
    <s v="Publikus"/>
    <n v="-0.316"/>
    <n v="-0.41870000000000002"/>
    <n v="-0.39939999999999998"/>
    <n v="0.01"/>
    <n v="1.81"/>
  </r>
  <r>
    <x v="4"/>
    <s v="Home Assistant"/>
    <n v="-0.28549999999999998"/>
    <n v="-0.1988"/>
    <n v="-0.35820000000000002"/>
    <n v="0.01"/>
    <n v="1.99"/>
  </r>
  <r>
    <x v="5"/>
    <s v="Publikus"/>
    <n v="-0.3327"/>
    <n v="-0.44829999999999998"/>
    <n v="-0.42759999999999998"/>
    <n v="0.01"/>
    <n v="3.56"/>
  </r>
  <r>
    <x v="5"/>
    <s v="Home Assistant"/>
    <n v="-0.4506"/>
    <n v="-0.35510000000000003"/>
    <n v="-0.63990000000000002"/>
    <n v="0.01"/>
    <n v="2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2B7F9-4A6B-0946-A1B2-BC0DC67CD94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0" firstDataRow="1" firstDataCol="1"/>
  <pivotFields count="7">
    <pivotField axis="axisRow" showAll="0">
      <items count="7">
        <item x="5"/>
        <item x="4"/>
        <item x="0"/>
        <item x="1"/>
        <item x="2"/>
        <item x="3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WQL" fld="2" subtotal="average" baseField="0" baseItem="0"/>
    <dataField name="Average of MAE" fld="3" subtotal="average" baseField="0" baseItem="0"/>
    <dataField name="Average of WAPE" fld="4" subtotal="average" baseField="0" baseItem="0"/>
    <dataField name="Average of fit_time (s)" fld="5" subtotal="average" baseField="0" baseItem="0"/>
    <dataField name="Average of pred_time (s)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2AD4-F2E5-5947-8837-A6113D8A07DA}">
  <dimension ref="A1:T32"/>
  <sheetViews>
    <sheetView tabSelected="1" topLeftCell="A17" zoomScale="135" workbookViewId="0">
      <selection activeCell="J23" sqref="J23"/>
    </sheetView>
  </sheetViews>
  <sheetFormatPr baseColWidth="10" defaultRowHeight="16" x14ac:dyDescent="0.2"/>
  <cols>
    <col min="2" max="2" width="19" customWidth="1"/>
    <col min="3" max="3" width="10.5" bestFit="1" customWidth="1"/>
    <col min="4" max="4" width="10.5" customWidth="1"/>
    <col min="5" max="5" width="8.6640625" bestFit="1" customWidth="1"/>
    <col min="6" max="6" width="15.5" bestFit="1" customWidth="1"/>
    <col min="7" max="7" width="16.6640625" bestFit="1" customWidth="1"/>
    <col min="8" max="8" width="16.6640625" customWidth="1"/>
    <col min="9" max="9" width="11" customWidth="1"/>
    <col min="10" max="10" width="13.6640625" customWidth="1"/>
    <col min="11" max="11" width="18.83203125" customWidth="1"/>
    <col min="12" max="12" width="19.83203125" customWidth="1"/>
    <col min="13" max="13" width="12.5" customWidth="1"/>
    <col min="14" max="14" width="12.83203125" customWidth="1"/>
    <col min="15" max="15" width="11" bestFit="1" customWidth="1"/>
    <col min="16" max="16" width="13.6640625" bestFit="1" customWidth="1"/>
    <col min="17" max="18" width="11.1640625" customWidth="1"/>
    <col min="19" max="19" width="18.83203125" bestFit="1" customWidth="1"/>
    <col min="20" max="20" width="19.83203125" bestFit="1" customWidth="1"/>
  </cols>
  <sheetData>
    <row r="1" spans="1:2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7</v>
      </c>
      <c r="G1" s="2" t="s">
        <v>4</v>
      </c>
      <c r="H1" s="2" t="s">
        <v>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">
      <c r="A2" s="3">
        <v>45830</v>
      </c>
      <c r="B2">
        <v>8.74</v>
      </c>
      <c r="C2">
        <v>6.76</v>
      </c>
      <c r="D2">
        <v>8.26</v>
      </c>
      <c r="E2">
        <v>6.18</v>
      </c>
      <c r="F2">
        <v>5.73</v>
      </c>
      <c r="G2">
        <v>6.39</v>
      </c>
      <c r="H2">
        <v>6.27</v>
      </c>
    </row>
    <row r="3" spans="1:20" x14ac:dyDescent="0.2">
      <c r="A3" s="3">
        <v>45831</v>
      </c>
      <c r="B3">
        <v>12.1</v>
      </c>
      <c r="C3">
        <v>14.86</v>
      </c>
      <c r="D3">
        <v>19.170000000000002</v>
      </c>
      <c r="E3">
        <v>9.67</v>
      </c>
      <c r="F3">
        <v>12.07</v>
      </c>
      <c r="G3">
        <v>11.04</v>
      </c>
      <c r="H3">
        <v>10.69</v>
      </c>
    </row>
    <row r="4" spans="1:20" x14ac:dyDescent="0.2">
      <c r="A4" s="3">
        <v>45832</v>
      </c>
      <c r="B4">
        <v>5.8</v>
      </c>
      <c r="C4">
        <v>8.1</v>
      </c>
      <c r="D4">
        <v>12.42</v>
      </c>
      <c r="E4">
        <v>5.14</v>
      </c>
      <c r="F4">
        <v>6.9</v>
      </c>
      <c r="G4">
        <v>5.64</v>
      </c>
      <c r="H4">
        <v>5.67</v>
      </c>
    </row>
    <row r="5" spans="1:20" x14ac:dyDescent="0.2">
      <c r="I5" s="4"/>
      <c r="J5" s="4"/>
      <c r="K5" s="4"/>
      <c r="L5" s="4"/>
      <c r="M5" s="4"/>
      <c r="N5" s="4"/>
    </row>
    <row r="11" spans="1:20" x14ac:dyDescent="0.2">
      <c r="A11" s="2" t="s">
        <v>0</v>
      </c>
      <c r="B11" s="2" t="s">
        <v>2</v>
      </c>
      <c r="C11" s="2" t="s">
        <v>3</v>
      </c>
      <c r="D11" s="2" t="s">
        <v>6</v>
      </c>
      <c r="E11" s="2" t="s">
        <v>7</v>
      </c>
      <c r="F11" s="2" t="s">
        <v>4</v>
      </c>
      <c r="G11" s="2" t="s">
        <v>5</v>
      </c>
      <c r="H11" s="2"/>
    </row>
    <row r="12" spans="1:20" x14ac:dyDescent="0.2">
      <c r="A12" s="3">
        <v>45830</v>
      </c>
      <c r="B12">
        <f>$B2-C2</f>
        <v>1.9800000000000004</v>
      </c>
      <c r="C12">
        <f t="shared" ref="C12:G12" si="0">$B2-D2</f>
        <v>0.48000000000000043</v>
      </c>
      <c r="D12">
        <f t="shared" si="0"/>
        <v>2.5600000000000005</v>
      </c>
      <c r="E12">
        <f t="shared" si="0"/>
        <v>3.01</v>
      </c>
      <c r="F12">
        <f t="shared" si="0"/>
        <v>2.3500000000000005</v>
      </c>
      <c r="G12">
        <f t="shared" si="0"/>
        <v>2.4700000000000006</v>
      </c>
      <c r="I12" s="2"/>
      <c r="J12" s="2"/>
      <c r="K12" s="2"/>
      <c r="L12" s="2"/>
      <c r="M12" s="2"/>
      <c r="N12" s="2"/>
    </row>
    <row r="13" spans="1:20" x14ac:dyDescent="0.2">
      <c r="A13" s="3">
        <v>45831</v>
      </c>
      <c r="B13">
        <f t="shared" ref="B13:G13" si="1">$B3-C3</f>
        <v>-2.76</v>
      </c>
      <c r="C13">
        <f t="shared" si="1"/>
        <v>-7.0700000000000021</v>
      </c>
      <c r="D13">
        <f t="shared" si="1"/>
        <v>2.4299999999999997</v>
      </c>
      <c r="E13">
        <f t="shared" si="1"/>
        <v>2.9999999999999361E-2</v>
      </c>
      <c r="F13">
        <f t="shared" si="1"/>
        <v>1.0600000000000005</v>
      </c>
      <c r="G13">
        <f t="shared" si="1"/>
        <v>1.4100000000000001</v>
      </c>
    </row>
    <row r="14" spans="1:20" x14ac:dyDescent="0.2">
      <c r="A14" s="3">
        <v>45832</v>
      </c>
      <c r="B14">
        <f t="shared" ref="B14:G14" si="2">$B4-C4</f>
        <v>-2.2999999999999998</v>
      </c>
      <c r="C14">
        <f t="shared" si="2"/>
        <v>-6.62</v>
      </c>
      <c r="D14">
        <f t="shared" si="2"/>
        <v>0.66000000000000014</v>
      </c>
      <c r="E14">
        <f t="shared" si="2"/>
        <v>-1.1000000000000005</v>
      </c>
      <c r="F14">
        <f t="shared" si="2"/>
        <v>0.16000000000000014</v>
      </c>
      <c r="G14">
        <f t="shared" si="2"/>
        <v>0.12999999999999989</v>
      </c>
    </row>
    <row r="15" spans="1:20" x14ac:dyDescent="0.2">
      <c r="A15" s="1"/>
    </row>
    <row r="17" spans="1:7" x14ac:dyDescent="0.2">
      <c r="A17" s="2" t="s">
        <v>0</v>
      </c>
      <c r="B17" s="2" t="s">
        <v>2</v>
      </c>
      <c r="C17" s="2" t="s">
        <v>3</v>
      </c>
      <c r="D17" s="2" t="s">
        <v>6</v>
      </c>
      <c r="E17" s="2" t="s">
        <v>7</v>
      </c>
      <c r="F17" s="2" t="s">
        <v>4</v>
      </c>
      <c r="G17" s="2" t="s">
        <v>5</v>
      </c>
    </row>
    <row r="18" spans="1:7" x14ac:dyDescent="0.2">
      <c r="A18" s="3">
        <v>45830</v>
      </c>
      <c r="B18">
        <f>ABS(B12)</f>
        <v>1.9800000000000004</v>
      </c>
      <c r="C18">
        <f t="shared" ref="C18:G18" si="3">ABS(C12)</f>
        <v>0.48000000000000043</v>
      </c>
      <c r="D18">
        <f t="shared" si="3"/>
        <v>2.5600000000000005</v>
      </c>
      <c r="E18">
        <f t="shared" si="3"/>
        <v>3.01</v>
      </c>
      <c r="F18">
        <f t="shared" si="3"/>
        <v>2.3500000000000005</v>
      </c>
      <c r="G18">
        <f t="shared" si="3"/>
        <v>2.4700000000000006</v>
      </c>
    </row>
    <row r="19" spans="1:7" x14ac:dyDescent="0.2">
      <c r="A19" s="3">
        <v>45831</v>
      </c>
      <c r="B19">
        <f t="shared" ref="B19:G19" si="4">ABS(B13)</f>
        <v>2.76</v>
      </c>
      <c r="C19">
        <f t="shared" si="4"/>
        <v>7.0700000000000021</v>
      </c>
      <c r="D19">
        <f t="shared" si="4"/>
        <v>2.4299999999999997</v>
      </c>
      <c r="E19">
        <f t="shared" si="4"/>
        <v>2.9999999999999361E-2</v>
      </c>
      <c r="F19">
        <f t="shared" si="4"/>
        <v>1.0600000000000005</v>
      </c>
      <c r="G19">
        <f t="shared" si="4"/>
        <v>1.4100000000000001</v>
      </c>
    </row>
    <row r="20" spans="1:7" x14ac:dyDescent="0.2">
      <c r="A20" s="3">
        <v>45832</v>
      </c>
      <c r="B20">
        <f t="shared" ref="B20:G20" si="5">ABS(B14)</f>
        <v>2.2999999999999998</v>
      </c>
      <c r="C20">
        <f t="shared" si="5"/>
        <v>6.62</v>
      </c>
      <c r="D20">
        <f t="shared" si="5"/>
        <v>0.66000000000000014</v>
      </c>
      <c r="E20">
        <f t="shared" si="5"/>
        <v>1.1000000000000005</v>
      </c>
      <c r="F20">
        <f t="shared" si="5"/>
        <v>0.16000000000000014</v>
      </c>
      <c r="G20">
        <f t="shared" si="5"/>
        <v>0.12999999999999989</v>
      </c>
    </row>
    <row r="21" spans="1:7" x14ac:dyDescent="0.2">
      <c r="A21" s="2" t="s">
        <v>11</v>
      </c>
      <c r="B21">
        <f>AVERAGE(B18:B20)</f>
        <v>2.3466666666666667</v>
      </c>
      <c r="C21">
        <f t="shared" ref="C21:G21" si="6">AVERAGE(C18:C20)</f>
        <v>4.7233333333333336</v>
      </c>
      <c r="D21">
        <f t="shared" si="6"/>
        <v>1.8833333333333335</v>
      </c>
      <c r="E21">
        <f t="shared" si="6"/>
        <v>1.38</v>
      </c>
      <c r="F21">
        <f t="shared" si="6"/>
        <v>1.1900000000000004</v>
      </c>
      <c r="G21">
        <f t="shared" si="6"/>
        <v>1.3366666666666669</v>
      </c>
    </row>
    <row r="26" spans="1:7" x14ac:dyDescent="0.2">
      <c r="A26" s="2" t="str" cm="1">
        <f t="array" ref="A26:E32">TRANSPOSE(A17:G21)</f>
        <v>Nap</v>
      </c>
      <c r="B26" s="1">
        <v>45830</v>
      </c>
      <c r="C26" s="1">
        <v>45831</v>
      </c>
      <c r="D26" s="1">
        <v>45832</v>
      </c>
      <c r="E26" t="str">
        <v>MAE</v>
      </c>
    </row>
    <row r="27" spans="1:7" x14ac:dyDescent="0.2">
      <c r="A27" s="2" t="str">
        <v>AutoETS</v>
      </c>
      <c r="B27">
        <v>1.9800000000000004</v>
      </c>
      <c r="C27">
        <v>2.76</v>
      </c>
      <c r="D27">
        <v>2.2999999999999998</v>
      </c>
      <c r="E27">
        <v>2.3466666666666667</v>
      </c>
    </row>
    <row r="28" spans="1:7" x14ac:dyDescent="0.2">
      <c r="A28" s="2" t="str">
        <v>AutoARIMA</v>
      </c>
      <c r="B28">
        <v>0.48000000000000043</v>
      </c>
      <c r="C28">
        <v>7.0700000000000021</v>
      </c>
      <c r="D28">
        <v>6.62</v>
      </c>
      <c r="E28">
        <v>4.7233333333333336</v>
      </c>
    </row>
    <row r="29" spans="1:7" x14ac:dyDescent="0.2">
      <c r="A29" s="2" t="str">
        <v>DeepAR</v>
      </c>
      <c r="B29">
        <v>2.5600000000000005</v>
      </c>
      <c r="C29">
        <v>2.4299999999999997</v>
      </c>
      <c r="D29">
        <v>0.66000000000000014</v>
      </c>
      <c r="E29">
        <v>1.8833333333333335</v>
      </c>
    </row>
    <row r="30" spans="1:7" x14ac:dyDescent="0.2">
      <c r="A30" s="2" t="str">
        <v>WaveNet</v>
      </c>
      <c r="B30">
        <v>3.01</v>
      </c>
      <c r="C30">
        <v>2.9999999999999361E-2</v>
      </c>
      <c r="D30">
        <v>1.1000000000000005</v>
      </c>
      <c r="E30">
        <v>1.38</v>
      </c>
    </row>
    <row r="31" spans="1:7" x14ac:dyDescent="0.2">
      <c r="A31" s="2" t="str">
        <v>ChronosZeroShot</v>
      </c>
      <c r="B31">
        <v>2.3500000000000005</v>
      </c>
      <c r="C31">
        <v>1.0600000000000005</v>
      </c>
      <c r="D31">
        <v>0.16000000000000014</v>
      </c>
      <c r="E31">
        <v>1.1900000000000004</v>
      </c>
    </row>
    <row r="32" spans="1:7" x14ac:dyDescent="0.2">
      <c r="A32" s="2" t="str">
        <v>ChronosFineTuned</v>
      </c>
      <c r="B32">
        <v>2.4700000000000006</v>
      </c>
      <c r="C32">
        <v>1.4100000000000001</v>
      </c>
      <c r="D32">
        <v>0.12999999999999989</v>
      </c>
      <c r="E32">
        <v>1.3366666666666669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C201-1CAC-604F-85C0-ED9B12698880}">
  <dimension ref="A1:H34"/>
  <sheetViews>
    <sheetView topLeftCell="A12" zoomScale="150" workbookViewId="0">
      <selection activeCell="B38" sqref="B38"/>
    </sheetView>
  </sheetViews>
  <sheetFormatPr baseColWidth="10" defaultRowHeight="16" x14ac:dyDescent="0.2"/>
  <cols>
    <col min="2" max="2" width="20.83203125" bestFit="1" customWidth="1"/>
    <col min="7" max="7" width="20.33203125" customWidth="1"/>
    <col min="8" max="8" width="16.83203125" bestFit="1" customWidth="1"/>
  </cols>
  <sheetData>
    <row r="1" spans="1:8" x14ac:dyDescent="0.2">
      <c r="A1" s="2" t="s">
        <v>24</v>
      </c>
      <c r="B1" s="2" t="s">
        <v>25</v>
      </c>
      <c r="C1" s="2" t="s">
        <v>2</v>
      </c>
      <c r="D1" s="2" t="s">
        <v>3</v>
      </c>
      <c r="E1" s="2" t="s">
        <v>6</v>
      </c>
      <c r="F1" s="2" t="s">
        <v>7</v>
      </c>
      <c r="G1" s="2" t="s">
        <v>4</v>
      </c>
      <c r="H1" s="2" t="s">
        <v>5</v>
      </c>
    </row>
    <row r="2" spans="1:8" x14ac:dyDescent="0.2">
      <c r="A2" s="7">
        <v>40506</v>
      </c>
      <c r="B2" s="4">
        <v>0.78</v>
      </c>
      <c r="C2" s="4">
        <v>2.15</v>
      </c>
      <c r="D2" s="4">
        <v>2.06</v>
      </c>
      <c r="E2" s="4">
        <v>2.0699999999999998</v>
      </c>
      <c r="F2" s="4">
        <v>2.52</v>
      </c>
      <c r="G2" s="4">
        <v>1.5</v>
      </c>
      <c r="H2" s="4">
        <v>1.58</v>
      </c>
    </row>
    <row r="3" spans="1:8" x14ac:dyDescent="0.2">
      <c r="A3" s="7">
        <v>40507</v>
      </c>
      <c r="B3" s="4">
        <v>23.85</v>
      </c>
      <c r="C3" s="4">
        <v>27.05</v>
      </c>
      <c r="D3" s="4">
        <v>29.15</v>
      </c>
      <c r="E3" s="4">
        <v>22.75</v>
      </c>
      <c r="F3" s="4">
        <v>26.44</v>
      </c>
      <c r="G3" s="4">
        <v>27.610001</v>
      </c>
      <c r="H3" s="4">
        <v>27.27</v>
      </c>
    </row>
    <row r="4" spans="1:8" x14ac:dyDescent="0.2">
      <c r="A4" s="7">
        <v>40508</v>
      </c>
      <c r="B4" s="4">
        <v>25.69</v>
      </c>
      <c r="C4" s="4">
        <v>24.9</v>
      </c>
      <c r="D4" s="4">
        <v>27.26</v>
      </c>
      <c r="E4" s="4">
        <v>23.26</v>
      </c>
      <c r="F4" s="4">
        <v>27.02</v>
      </c>
      <c r="G4" s="4">
        <v>26.82</v>
      </c>
      <c r="H4" s="4">
        <v>25.879999000000002</v>
      </c>
    </row>
    <row r="9" spans="1:8" x14ac:dyDescent="0.2">
      <c r="B9" s="2" t="s">
        <v>26</v>
      </c>
      <c r="C9" s="2" t="s">
        <v>2</v>
      </c>
      <c r="D9" s="2" t="s">
        <v>3</v>
      </c>
      <c r="E9" s="2" t="s">
        <v>6</v>
      </c>
      <c r="F9" s="2" t="s">
        <v>7</v>
      </c>
      <c r="G9" s="2" t="s">
        <v>4</v>
      </c>
      <c r="H9" s="2" t="s">
        <v>5</v>
      </c>
    </row>
    <row r="10" spans="1:8" x14ac:dyDescent="0.2">
      <c r="B10" s="7">
        <v>40506</v>
      </c>
      <c r="C10" s="4">
        <f>$B2-C2</f>
        <v>-1.3699999999999999</v>
      </c>
      <c r="D10" s="4">
        <f t="shared" ref="D10:H10" si="0">$B2-D2</f>
        <v>-1.28</v>
      </c>
      <c r="E10" s="4">
        <f t="shared" si="0"/>
        <v>-1.2899999999999998</v>
      </c>
      <c r="F10" s="4">
        <f t="shared" si="0"/>
        <v>-1.74</v>
      </c>
      <c r="G10" s="4">
        <f t="shared" si="0"/>
        <v>-0.72</v>
      </c>
      <c r="H10" s="4">
        <f t="shared" si="0"/>
        <v>-0.8</v>
      </c>
    </row>
    <row r="11" spans="1:8" x14ac:dyDescent="0.2">
      <c r="B11" s="7">
        <v>40507</v>
      </c>
      <c r="C11" s="4">
        <f t="shared" ref="C11:H11" si="1">$B3-C3</f>
        <v>-3.1999999999999993</v>
      </c>
      <c r="D11" s="4">
        <f t="shared" si="1"/>
        <v>-5.2999999999999972</v>
      </c>
      <c r="E11" s="4">
        <f t="shared" si="1"/>
        <v>1.1000000000000014</v>
      </c>
      <c r="F11" s="4">
        <f t="shared" si="1"/>
        <v>-2.59</v>
      </c>
      <c r="G11" s="4">
        <f t="shared" si="1"/>
        <v>-3.760000999999999</v>
      </c>
      <c r="H11" s="4">
        <f t="shared" si="1"/>
        <v>-3.4199999999999982</v>
      </c>
    </row>
    <row r="12" spans="1:8" x14ac:dyDescent="0.2">
      <c r="B12" s="7">
        <v>40508</v>
      </c>
      <c r="C12" s="4">
        <f t="shared" ref="C12:H12" si="2">$B4-C4</f>
        <v>0.7900000000000027</v>
      </c>
      <c r="D12" s="4">
        <f t="shared" si="2"/>
        <v>-1.5700000000000003</v>
      </c>
      <c r="E12" s="4">
        <f t="shared" si="2"/>
        <v>2.4299999999999997</v>
      </c>
      <c r="F12" s="4">
        <f t="shared" si="2"/>
        <v>-1.3299999999999983</v>
      </c>
      <c r="G12" s="4">
        <f t="shared" si="2"/>
        <v>-1.129999999999999</v>
      </c>
      <c r="H12" s="4">
        <f t="shared" si="2"/>
        <v>-0.18999900000000025</v>
      </c>
    </row>
    <row r="18" spans="1:8" x14ac:dyDescent="0.2">
      <c r="B18" t="s">
        <v>26</v>
      </c>
      <c r="C18" t="s">
        <v>2</v>
      </c>
      <c r="D18" t="s">
        <v>3</v>
      </c>
      <c r="E18" t="s">
        <v>6</v>
      </c>
      <c r="F18" t="s">
        <v>7</v>
      </c>
      <c r="G18" t="s">
        <v>4</v>
      </c>
      <c r="H18" t="s">
        <v>5</v>
      </c>
    </row>
    <row r="19" spans="1:8" x14ac:dyDescent="0.2">
      <c r="B19" s="7">
        <v>40506</v>
      </c>
      <c r="C19" s="4">
        <f>ABS(C10)</f>
        <v>1.3699999999999999</v>
      </c>
      <c r="D19" s="4">
        <f t="shared" ref="D19:H19" si="3">ABS(D10)</f>
        <v>1.28</v>
      </c>
      <c r="E19" s="4">
        <f t="shared" si="3"/>
        <v>1.2899999999999998</v>
      </c>
      <c r="F19" s="4">
        <f t="shared" si="3"/>
        <v>1.74</v>
      </c>
      <c r="G19" s="4">
        <f t="shared" si="3"/>
        <v>0.72</v>
      </c>
      <c r="H19" s="4">
        <f t="shared" si="3"/>
        <v>0.8</v>
      </c>
    </row>
    <row r="20" spans="1:8" x14ac:dyDescent="0.2">
      <c r="B20" s="7">
        <v>40507</v>
      </c>
      <c r="C20" s="4">
        <f t="shared" ref="C20:H20" si="4">ABS(C11)</f>
        <v>3.1999999999999993</v>
      </c>
      <c r="D20" s="4">
        <f t="shared" si="4"/>
        <v>5.2999999999999972</v>
      </c>
      <c r="E20" s="4">
        <f t="shared" si="4"/>
        <v>1.1000000000000014</v>
      </c>
      <c r="F20" s="4">
        <f t="shared" si="4"/>
        <v>2.59</v>
      </c>
      <c r="G20" s="4">
        <f t="shared" si="4"/>
        <v>3.760000999999999</v>
      </c>
      <c r="H20" s="4">
        <f t="shared" si="4"/>
        <v>3.4199999999999982</v>
      </c>
    </row>
    <row r="21" spans="1:8" x14ac:dyDescent="0.2">
      <c r="B21" s="7">
        <v>40508</v>
      </c>
      <c r="C21" s="4">
        <f t="shared" ref="C21:H21" si="5">ABS(C12)</f>
        <v>0.7900000000000027</v>
      </c>
      <c r="D21" s="4">
        <f t="shared" si="5"/>
        <v>1.5700000000000003</v>
      </c>
      <c r="E21" s="4">
        <f t="shared" si="5"/>
        <v>2.4299999999999997</v>
      </c>
      <c r="F21" s="4">
        <f t="shared" si="5"/>
        <v>1.3299999999999983</v>
      </c>
      <c r="G21" s="4">
        <f t="shared" si="5"/>
        <v>1.129999999999999</v>
      </c>
      <c r="H21" s="4">
        <f t="shared" si="5"/>
        <v>0.18999900000000025</v>
      </c>
    </row>
    <row r="22" spans="1:8" x14ac:dyDescent="0.2">
      <c r="B22" t="s">
        <v>11</v>
      </c>
      <c r="C22" s="4">
        <f>AVERAGE(C19:C21)</f>
        <v>1.7866666666666673</v>
      </c>
      <c r="D22" s="4">
        <f t="shared" ref="D22:H22" si="6">AVERAGE(D19:D21)</f>
        <v>2.7166666666666663</v>
      </c>
      <c r="E22" s="4">
        <f t="shared" si="6"/>
        <v>1.6066666666666671</v>
      </c>
      <c r="F22" s="4">
        <f t="shared" si="6"/>
        <v>1.886666666666666</v>
      </c>
      <c r="G22" s="4">
        <f t="shared" si="6"/>
        <v>1.8700003333333326</v>
      </c>
      <c r="H22" s="4">
        <f t="shared" si="6"/>
        <v>1.4699996666666661</v>
      </c>
    </row>
    <row r="28" spans="1:8" x14ac:dyDescent="0.2">
      <c r="A28" t="str" cm="1">
        <f t="array" ref="A28:E34">TRANSPOSE(B18:H22)</f>
        <v>Dátum</v>
      </c>
      <c r="B28" s="7">
        <v>40506</v>
      </c>
      <c r="C28" s="7">
        <v>40507</v>
      </c>
      <c r="D28" s="7">
        <v>40508</v>
      </c>
      <c r="E28" t="str">
        <v>MAE</v>
      </c>
    </row>
    <row r="29" spans="1:8" x14ac:dyDescent="0.2">
      <c r="A29" t="str">
        <v>AutoETS</v>
      </c>
      <c r="B29" s="4">
        <v>1.3699999999999999</v>
      </c>
      <c r="C29" s="4">
        <v>3.1999999999999993</v>
      </c>
      <c r="D29" s="4">
        <v>0.7900000000000027</v>
      </c>
      <c r="E29" s="4">
        <v>1.7866666666666673</v>
      </c>
    </row>
    <row r="30" spans="1:8" x14ac:dyDescent="0.2">
      <c r="A30" t="str">
        <v>AutoARIMA</v>
      </c>
      <c r="B30" s="4">
        <v>1.28</v>
      </c>
      <c r="C30" s="4">
        <v>5.2999999999999972</v>
      </c>
      <c r="D30" s="4">
        <v>1.5700000000000003</v>
      </c>
      <c r="E30" s="4">
        <v>2.7166666666666663</v>
      </c>
    </row>
    <row r="31" spans="1:8" x14ac:dyDescent="0.2">
      <c r="A31" t="str">
        <v>DeepAR</v>
      </c>
      <c r="B31" s="4">
        <v>1.2899999999999998</v>
      </c>
      <c r="C31" s="4">
        <v>1.1000000000000014</v>
      </c>
      <c r="D31" s="4">
        <v>2.4299999999999997</v>
      </c>
      <c r="E31" s="4">
        <v>1.6066666666666671</v>
      </c>
    </row>
    <row r="32" spans="1:8" x14ac:dyDescent="0.2">
      <c r="A32" t="str">
        <v>WaveNet</v>
      </c>
      <c r="B32" s="4">
        <v>1.74</v>
      </c>
      <c r="C32" s="4">
        <v>2.59</v>
      </c>
      <c r="D32" s="4">
        <v>1.3299999999999983</v>
      </c>
      <c r="E32" s="4">
        <v>1.886666666666666</v>
      </c>
    </row>
    <row r="33" spans="1:5" x14ac:dyDescent="0.2">
      <c r="A33" t="str">
        <v>ChronosZeroShot</v>
      </c>
      <c r="B33" s="4">
        <v>0.72</v>
      </c>
      <c r="C33" s="4">
        <v>3.760000999999999</v>
      </c>
      <c r="D33" s="4">
        <v>1.129999999999999</v>
      </c>
      <c r="E33" s="4">
        <v>1.8700003333333326</v>
      </c>
    </row>
    <row r="34" spans="1:5" x14ac:dyDescent="0.2">
      <c r="A34" t="str">
        <v>ChronosFineTuned</v>
      </c>
      <c r="B34" s="4">
        <v>0.8</v>
      </c>
      <c r="C34" s="4">
        <v>3.4199999999999982</v>
      </c>
      <c r="D34" s="4">
        <v>0.18999900000000025</v>
      </c>
      <c r="E34" s="4">
        <v>1.4699996666666661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13C0-28EF-2341-80D6-DC7C8FCE5E4D}">
  <dimension ref="A3:F10"/>
  <sheetViews>
    <sheetView workbookViewId="0">
      <selection activeCell="A3" sqref="A3:F9"/>
    </sheetView>
  </sheetViews>
  <sheetFormatPr baseColWidth="10" defaultRowHeight="16" x14ac:dyDescent="0.2"/>
  <cols>
    <col min="1" max="1" width="16.5" bestFit="1" customWidth="1"/>
    <col min="2" max="2" width="14.1640625" bestFit="1" customWidth="1"/>
    <col min="3" max="3" width="13.83203125" bestFit="1" customWidth="1"/>
    <col min="4" max="4" width="15.1640625" bestFit="1" customWidth="1"/>
    <col min="5" max="5" width="19.5" bestFit="1" customWidth="1"/>
    <col min="6" max="6" width="21.5" bestFit="1" customWidth="1"/>
  </cols>
  <sheetData>
    <row r="3" spans="1:6" x14ac:dyDescent="0.2">
      <c r="A3" s="8" t="s">
        <v>17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</row>
    <row r="4" spans="1:6" x14ac:dyDescent="0.2">
      <c r="A4" s="9" t="s">
        <v>3</v>
      </c>
      <c r="B4" s="10">
        <v>-0.39165</v>
      </c>
      <c r="C4" s="10">
        <v>-0.4017</v>
      </c>
      <c r="D4" s="10">
        <v>-0.53374999999999995</v>
      </c>
      <c r="E4" s="10">
        <v>0.01</v>
      </c>
      <c r="F4" s="10">
        <v>3.1550000000000002</v>
      </c>
    </row>
    <row r="5" spans="1:6" x14ac:dyDescent="0.2">
      <c r="A5" s="9" t="s">
        <v>2</v>
      </c>
      <c r="B5" s="10">
        <v>-0.30074999999999996</v>
      </c>
      <c r="C5" s="10">
        <v>-0.30875000000000002</v>
      </c>
      <c r="D5" s="10">
        <v>-0.37880000000000003</v>
      </c>
      <c r="E5" s="10">
        <v>0.01</v>
      </c>
      <c r="F5" s="10">
        <v>1.9</v>
      </c>
    </row>
    <row r="6" spans="1:6" x14ac:dyDescent="0.2">
      <c r="A6" s="9" t="s">
        <v>5</v>
      </c>
      <c r="B6" s="10">
        <v>-0.21255000000000002</v>
      </c>
      <c r="C6" s="10">
        <v>-0.22039999999999998</v>
      </c>
      <c r="D6" s="10">
        <v>-0.26934999999999998</v>
      </c>
      <c r="E6" s="10">
        <v>993.08999999999992</v>
      </c>
      <c r="F6" s="10">
        <v>0.36499999999999999</v>
      </c>
    </row>
    <row r="7" spans="1:6" x14ac:dyDescent="0.2">
      <c r="A7" s="9" t="s">
        <v>4</v>
      </c>
      <c r="B7" s="10">
        <v>-0.21755000000000002</v>
      </c>
      <c r="C7" s="10">
        <v>-0.21975</v>
      </c>
      <c r="D7" s="10">
        <v>-0.26919999999999999</v>
      </c>
      <c r="E7" s="10">
        <v>1.3599999999999999</v>
      </c>
      <c r="F7" s="10">
        <v>0.86499999999999999</v>
      </c>
    </row>
    <row r="8" spans="1:6" x14ac:dyDescent="0.2">
      <c r="A8" s="9" t="s">
        <v>6</v>
      </c>
      <c r="B8" s="10">
        <v>-0.2384</v>
      </c>
      <c r="C8" s="10">
        <v>-0.23519999999999999</v>
      </c>
      <c r="D8" s="10">
        <v>-0.29235</v>
      </c>
      <c r="E8" s="10">
        <v>128.46</v>
      </c>
      <c r="F8" s="10">
        <v>9.5000000000000001E-2</v>
      </c>
    </row>
    <row r="9" spans="1:6" x14ac:dyDescent="0.2">
      <c r="A9" s="9" t="s">
        <v>7</v>
      </c>
      <c r="B9" s="10">
        <v>-0.2419</v>
      </c>
      <c r="C9" s="10">
        <v>-0.25519999999999998</v>
      </c>
      <c r="D9" s="10">
        <v>-0.31420000000000003</v>
      </c>
      <c r="E9" s="10">
        <v>408.125</v>
      </c>
      <c r="F9" s="10">
        <v>1.585</v>
      </c>
    </row>
    <row r="10" spans="1:6" x14ac:dyDescent="0.2">
      <c r="A10" s="9" t="s">
        <v>18</v>
      </c>
      <c r="B10" s="10">
        <v>-0.26713333333333333</v>
      </c>
      <c r="C10" s="10">
        <v>-0.27350000000000002</v>
      </c>
      <c r="D10" s="10">
        <v>-0.3429416666666667</v>
      </c>
      <c r="E10" s="10">
        <v>255.17583333333332</v>
      </c>
      <c r="F10" s="10">
        <v>1.3274999999999999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78D3E-9D54-F641-B721-0ECAAFAB8356}">
  <dimension ref="A1:G13"/>
  <sheetViews>
    <sheetView zoomScale="218" workbookViewId="0">
      <selection activeCell="B6" sqref="A1:G13"/>
    </sheetView>
  </sheetViews>
  <sheetFormatPr baseColWidth="10" defaultRowHeight="16" x14ac:dyDescent="0.2"/>
  <cols>
    <col min="1" max="1" width="21.33203125" customWidth="1"/>
    <col min="2" max="2" width="20.1640625" customWidth="1"/>
    <col min="3" max="6" width="11" customWidth="1"/>
    <col min="7" max="7" width="11.83203125" customWidth="1"/>
  </cols>
  <sheetData>
    <row r="1" spans="1:7" x14ac:dyDescent="0.2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</row>
    <row r="2" spans="1:7" x14ac:dyDescent="0.2">
      <c r="A2" s="6" t="s">
        <v>5</v>
      </c>
      <c r="B2" s="6" t="s">
        <v>15</v>
      </c>
      <c r="C2" s="6">
        <v>-0.22650000000000001</v>
      </c>
      <c r="D2" s="6">
        <v>-0.3014</v>
      </c>
      <c r="E2" s="6">
        <v>-0.28749999999999998</v>
      </c>
      <c r="F2" s="6">
        <v>1008.41</v>
      </c>
      <c r="G2" s="6">
        <v>0.37</v>
      </c>
    </row>
    <row r="3" spans="1:7" x14ac:dyDescent="0.2">
      <c r="A3" s="6" t="s">
        <v>5</v>
      </c>
      <c r="B3" s="6" t="s">
        <v>16</v>
      </c>
      <c r="C3" s="6">
        <v>-0.1986</v>
      </c>
      <c r="D3" s="6">
        <v>-0.1394</v>
      </c>
      <c r="E3" s="6">
        <v>-0.25119999999999998</v>
      </c>
      <c r="F3" s="6">
        <v>977.77</v>
      </c>
      <c r="G3" s="6">
        <v>0.36</v>
      </c>
    </row>
    <row r="4" spans="1:7" x14ac:dyDescent="0.2">
      <c r="A4" s="6" t="s">
        <v>4</v>
      </c>
      <c r="B4" s="6" t="s">
        <v>15</v>
      </c>
      <c r="C4" s="6">
        <v>-0.22850000000000001</v>
      </c>
      <c r="D4" s="6">
        <v>-0.29899999999999999</v>
      </c>
      <c r="E4" s="6">
        <v>-0.28520000000000001</v>
      </c>
      <c r="F4" s="6">
        <v>1.43</v>
      </c>
      <c r="G4" s="6">
        <v>0.93</v>
      </c>
    </row>
    <row r="5" spans="1:7" x14ac:dyDescent="0.2">
      <c r="A5" s="6" t="s">
        <v>4</v>
      </c>
      <c r="B5" s="6" t="s">
        <v>16</v>
      </c>
      <c r="C5" s="6">
        <v>-0.20660000000000001</v>
      </c>
      <c r="D5" s="6">
        <v>-0.14050000000000001</v>
      </c>
      <c r="E5" s="6">
        <v>-0.25319999999999998</v>
      </c>
      <c r="F5" s="6">
        <v>1.29</v>
      </c>
      <c r="G5" s="6">
        <v>0.8</v>
      </c>
    </row>
    <row r="6" spans="1:7" x14ac:dyDescent="0.2">
      <c r="A6" s="6" t="s">
        <v>6</v>
      </c>
      <c r="B6" s="6" t="s">
        <v>15</v>
      </c>
      <c r="C6" s="6">
        <v>-0.2364</v>
      </c>
      <c r="D6" s="6">
        <v>-0.31</v>
      </c>
      <c r="E6" s="6">
        <v>-0.29570000000000002</v>
      </c>
      <c r="F6" s="6">
        <v>180.53</v>
      </c>
      <c r="G6" s="6">
        <v>7.0000000000000007E-2</v>
      </c>
    </row>
    <row r="7" spans="1:7" x14ac:dyDescent="0.2">
      <c r="A7" s="6" t="s">
        <v>6</v>
      </c>
      <c r="B7" s="6" t="s">
        <v>16</v>
      </c>
      <c r="C7" s="6">
        <v>-0.2404</v>
      </c>
      <c r="D7" s="6">
        <v>-0.16039999999999999</v>
      </c>
      <c r="E7" s="6">
        <v>-0.28899999999999998</v>
      </c>
      <c r="F7" s="6">
        <v>76.39</v>
      </c>
      <c r="G7" s="6">
        <v>0.12</v>
      </c>
    </row>
    <row r="8" spans="1:7" x14ac:dyDescent="0.2">
      <c r="A8" s="6" t="s">
        <v>7</v>
      </c>
      <c r="B8" s="6" t="s">
        <v>15</v>
      </c>
      <c r="C8" s="6">
        <v>-0.23930000000000001</v>
      </c>
      <c r="D8" s="6">
        <v>-0.34350000000000003</v>
      </c>
      <c r="E8" s="6">
        <v>-0.32769999999999999</v>
      </c>
      <c r="F8" s="6">
        <v>553.41</v>
      </c>
      <c r="G8" s="6">
        <v>1.56</v>
      </c>
    </row>
    <row r="9" spans="1:7" x14ac:dyDescent="0.2">
      <c r="A9" s="6" t="s">
        <v>7</v>
      </c>
      <c r="B9" s="6" t="s">
        <v>16</v>
      </c>
      <c r="C9" s="6">
        <v>-0.2445</v>
      </c>
      <c r="D9" s="6">
        <v>-0.16689999999999999</v>
      </c>
      <c r="E9" s="6">
        <v>-0.30070000000000002</v>
      </c>
      <c r="F9" s="6">
        <v>262.83999999999997</v>
      </c>
      <c r="G9" s="6">
        <v>1.61</v>
      </c>
    </row>
    <row r="10" spans="1:7" x14ac:dyDescent="0.2">
      <c r="A10" s="6" t="s">
        <v>2</v>
      </c>
      <c r="B10" s="6" t="s">
        <v>15</v>
      </c>
      <c r="C10" s="6">
        <v>-0.316</v>
      </c>
      <c r="D10" s="6">
        <v>-0.41870000000000002</v>
      </c>
      <c r="E10" s="6">
        <v>-0.39939999999999998</v>
      </c>
      <c r="F10" s="6">
        <v>0.01</v>
      </c>
      <c r="G10" s="6">
        <v>1.81</v>
      </c>
    </row>
    <row r="11" spans="1:7" x14ac:dyDescent="0.2">
      <c r="A11" s="6" t="s">
        <v>2</v>
      </c>
      <c r="B11" s="6" t="s">
        <v>16</v>
      </c>
      <c r="C11" s="6">
        <v>-0.28549999999999998</v>
      </c>
      <c r="D11" s="6">
        <v>-0.1988</v>
      </c>
      <c r="E11" s="6">
        <v>-0.35820000000000002</v>
      </c>
      <c r="F11" s="6">
        <v>0.01</v>
      </c>
      <c r="G11" s="6">
        <v>1.99</v>
      </c>
    </row>
    <row r="12" spans="1:7" x14ac:dyDescent="0.2">
      <c r="A12" s="6" t="s">
        <v>3</v>
      </c>
      <c r="B12" s="6" t="s">
        <v>15</v>
      </c>
      <c r="C12" s="6">
        <v>-0.3327</v>
      </c>
      <c r="D12" s="6">
        <v>-0.44829999999999998</v>
      </c>
      <c r="E12" s="6">
        <v>-0.42759999999999998</v>
      </c>
      <c r="F12" s="6">
        <v>0.01</v>
      </c>
      <c r="G12" s="6">
        <v>3.56</v>
      </c>
    </row>
    <row r="13" spans="1:7" x14ac:dyDescent="0.2">
      <c r="A13" s="6" t="s">
        <v>3</v>
      </c>
      <c r="B13" s="6" t="s">
        <v>16</v>
      </c>
      <c r="C13" s="6">
        <v>-0.4506</v>
      </c>
      <c r="D13" s="6">
        <v>-0.35510000000000003</v>
      </c>
      <c r="E13" s="6">
        <v>-0.63990000000000002</v>
      </c>
      <c r="F13" s="6">
        <v>0.01</v>
      </c>
      <c r="G13" s="6">
        <v>2.75</v>
      </c>
    </row>
  </sheetData>
  <autoFilter ref="A1:G13" xr:uid="{91F78D3E-9D54-F641-B721-0ECAAFAB83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 graph</vt:lpstr>
      <vt:lpstr>Public graph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Gergely Széll</dc:creator>
  <cp:lastModifiedBy>Gergely Széll</cp:lastModifiedBy>
  <dcterms:created xsi:type="dcterms:W3CDTF">2025-09-23T07:51:51Z</dcterms:created>
  <dcterms:modified xsi:type="dcterms:W3CDTF">2025-09-26T12:46:51Z</dcterms:modified>
</cp:coreProperties>
</file>